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nalistabi01.iber\Downloads\"/>
    </mc:Choice>
  </mc:AlternateContent>
  <xr:revisionPtr revIDLastSave="0" documentId="8_{BABAA035-B076-402B-AFB9-EFBDEA598BE9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Criterios" sheetId="1" r:id="rId1"/>
    <sheet name="Matriz Riesgos OWASP" sheetId="2" r:id="rId2"/>
    <sheet name="Resumen" sheetId="3" r:id="rId3"/>
    <sheet name="Verificacion Fase 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J17" i="2"/>
  <c r="K17" i="2" s="1"/>
  <c r="J16" i="2"/>
  <c r="K16" i="2" s="1"/>
  <c r="J15" i="2"/>
  <c r="K15" i="2" s="1"/>
  <c r="J14" i="2"/>
  <c r="K14" i="2" s="1"/>
  <c r="J13" i="2"/>
  <c r="K13" i="2" s="1"/>
  <c r="J12" i="2"/>
  <c r="K12" i="2" s="1"/>
  <c r="J11" i="2"/>
  <c r="K11" i="2" s="1"/>
  <c r="J10" i="2"/>
  <c r="K10" i="2" s="1"/>
  <c r="J9" i="2"/>
  <c r="K9" i="2" s="1"/>
  <c r="J8" i="2"/>
  <c r="K8" i="2" s="1"/>
  <c r="E5" i="3" l="1"/>
  <c r="E6" i="3"/>
  <c r="B8" i="3"/>
  <c r="B6" i="3"/>
  <c r="E7" i="3"/>
  <c r="B7" i="3"/>
  <c r="B5" i="3"/>
  <c r="E4" i="3"/>
</calcChain>
</file>

<file path=xl/sharedStrings.xml><?xml version="1.0" encoding="utf-8"?>
<sst xmlns="http://schemas.openxmlformats.org/spreadsheetml/2006/main" count="290" uniqueCount="237">
  <si>
    <t>CRITERIOS DE EVALUACION Y FUENTES</t>
  </si>
  <si>
    <t>Valor</t>
  </si>
  <si>
    <t>Probabilidad</t>
  </si>
  <si>
    <t>Impacto</t>
  </si>
  <si>
    <t>Puntuacion</t>
  </si>
  <si>
    <t>Clasificacion</t>
  </si>
  <si>
    <t>Rara</t>
  </si>
  <si>
    <t>Insignificante</t>
  </si>
  <si>
    <t>1 a 7</t>
  </si>
  <si>
    <t>Bajo</t>
  </si>
  <si>
    <t>Poco probable</t>
  </si>
  <si>
    <t>Menor</t>
  </si>
  <si>
    <t>8 a 14</t>
  </si>
  <si>
    <t>Medio</t>
  </si>
  <si>
    <t>Posible</t>
  </si>
  <si>
    <t>Moderado</t>
  </si>
  <si>
    <t>15 a 19</t>
  </si>
  <si>
    <t>Alto</t>
  </si>
  <si>
    <t>Probable</t>
  </si>
  <si>
    <t>Mayor</t>
  </si>
  <si>
    <t>20 a 25</t>
  </si>
  <si>
    <t>Critico</t>
  </si>
  <si>
    <t>Muy probable</t>
  </si>
  <si>
    <t>Fuente</t>
  </si>
  <si>
    <t>URL</t>
  </si>
  <si>
    <t>OWASP Top 10:2025</t>
  </si>
  <si>
    <t>https://owasp.org/Top10/2025/</t>
  </si>
  <si>
    <t>Proyecto OWASP Top Ten</t>
  </si>
  <si>
    <t>https://owasp.org/projects/top-ten/</t>
  </si>
  <si>
    <t>MATRIZ DE RIESGOS DE SEGURIDAD WEB - OWASP TOP 10:2025</t>
  </si>
  <si>
    <t>Proyecto 7 WAF Shield Cloud - Seguridad Perimetral para Aplicaciones en la Nube</t>
  </si>
  <si>
    <t>Responsable: Edwin Eliseo Gomez Flores - Analista QA / Seguridad Jr.</t>
  </si>
  <si>
    <t>Fase 1 - Analisis del entorno, riesgos y diseno de la solucion</t>
  </si>
  <si>
    <t>Metodologia: Riesgo inherente = Probabilidad x Impacto. Valoracion preliminar sujeta a validacion durante las pruebas del sistema.</t>
  </si>
  <si>
    <t>ID</t>
  </si>
  <si>
    <t>Categoria OWASP</t>
  </si>
  <si>
    <t>Activo o componente afectado</t>
  </si>
  <si>
    <t>Escenario de riesgo</t>
  </si>
  <si>
    <t>Vulnerabilidad o causa</t>
  </si>
  <si>
    <t>Amenaza</t>
  </si>
  <si>
    <t>Consecuencia potencial</t>
  </si>
  <si>
    <t>Nivel inherente</t>
  </si>
  <si>
    <t>Control WAF propuesto</t>
  </si>
  <si>
    <t>Control complementario</t>
  </si>
  <si>
    <t>Escenario preliminar de validacion</t>
  </si>
  <si>
    <t>Responsable</t>
  </si>
  <si>
    <t>Estado</t>
  </si>
  <si>
    <t>A01</t>
  </si>
  <si>
    <t>A01:2025 - Control de acceso roto</t>
  </si>
  <si>
    <t>Panel administrativo, rutas protegidas y endpoints</t>
  </si>
  <si>
    <t>Un usuario no autorizado intenta acceder a recursos restringidos.</t>
  </si>
  <si>
    <t>Validacion insuficiente de permisos y exposicion de rutas sensibles.</t>
  </si>
  <si>
    <t>Acceso no autorizado y manipulacion de solicitudes.</t>
  </si>
  <si>
    <t>Consulta, modificacion o eliminacion no autorizada de informacion.</t>
  </si>
  <si>
    <t>Bloquear patrones anomalos, restringir rutas sensibles y aplicar limitacion de solicitudes.</t>
  </si>
  <si>
    <t>Autorizacion por roles, principio de minimo privilegio y validacion del lado servidor.</t>
  </si>
  <si>
    <t>Enviar solicitudes a rutas protegidas sin credenciales o con permisos insuficientes.</t>
  </si>
  <si>
    <t>Analista QA / Seguridad Jr.</t>
  </si>
  <si>
    <t>Pendiente de validacion</t>
  </si>
  <si>
    <t>A02</t>
  </si>
  <si>
    <t>A02:2025 - Configuracion incorrecta de seguridad</t>
  </si>
  <si>
    <t>Servidor web, WAF, proxy, cabeceras HTTP y servicios publicados</t>
  </si>
  <si>
    <t>Una configuracion insegura expone informacion o funcionalidades innecesarias.</t>
  </si>
  <si>
    <t>Reglas predeterminadas, servicios innecesarios o cabeceras de seguridad ausentes.</t>
  </si>
  <si>
    <t>Reconocimiento, explotacion de configuracion y exposicion de informacion.</t>
  </si>
  <si>
    <t>Exposicion de datos tecnicos, rutas internas o servicios vulnerables.</t>
  </si>
  <si>
    <t>Aplicar reglas administradas, bloquear metodos innecesarios y restringir rutas.</t>
  </si>
  <si>
    <t>Configurar HTTPS, cabeceras de seguridad, puertos minimos y endurecimiento del servidor.</t>
  </si>
  <si>
    <t>Revisar respuestas HTTP, metodos permitidos, cabeceras y rutas expuestas.</t>
  </si>
  <si>
    <t>A03</t>
  </si>
  <si>
    <t>A03:2025 - Fallos en la cadena de suministro de software</t>
  </si>
  <si>
    <t>Dependencias, librerias, repositorio y proceso de despliegue</t>
  </si>
  <si>
    <t>Una dependencia vulnerable o alterada compromete la aplicacion.</t>
  </si>
  <si>
    <t>Uso de componentes sin verificacion, versiones desactualizadas o dependencias comprometidas.</t>
  </si>
  <si>
    <t>Explotacion de componentes vulnerables o manipulacion de dependencias.</t>
  </si>
  <si>
    <t>Ejecucion de codigo, afectacion del servicio o compromiso de datos.</t>
  </si>
  <si>
    <t>Detectar y bloquear trafico relacionado con explotacion conocida cuando sea posible.</t>
  </si>
  <si>
    <t>Inventario de dependencias, revision de versiones, control de integridad y analisis de componentes.</t>
  </si>
  <si>
    <t>Revisar dependencias declaradas y verificar componentes desactualizados o vulnerables.</t>
  </si>
  <si>
    <t>A04</t>
  </si>
  <si>
    <t>A04:2025 - Fallos criptograficos</t>
  </si>
  <si>
    <t>Inicio de sesion, transmision de datos y posibles datos sensibles</t>
  </si>
  <si>
    <t>Informacion sensible se transmite o almacena sin proteccion adecuada.</t>
  </si>
  <si>
    <t>Uso inadecuado de HTTPS, cifrado debil o exposicion de informacion sensible.</t>
  </si>
  <si>
    <t>Intercepcion, divulgacion o manipulacion de informacion.</t>
  </si>
  <si>
    <t>Perdida de confidencialidad e integridad de los datos.</t>
  </si>
  <si>
    <t>Forzar trafico HTTPS y rechazar solicitudes no seguras.</t>
  </si>
  <si>
    <t>Usar TLS vigente, gestionar secretos de forma segura y evitar datos sensibles en URL.</t>
  </si>
  <si>
    <t>Verificar redireccion HTTPS, certificado y ausencia de datos sensibles en parametros visibles.</t>
  </si>
  <si>
    <t>A05</t>
  </si>
  <si>
    <t>A05:2025 - Inyeccion</t>
  </si>
  <si>
    <t>Formularios, parametros URL, campos de entrada, consultas y API</t>
  </si>
  <si>
    <t>Un atacante introduce datos maliciosos en una entrada procesada por la aplicacion.</t>
  </si>
  <si>
    <t>Entradas sin validacion ni sanitizacion suficiente.</t>
  </si>
  <si>
    <t>SQL Injection, inyeccion de comandos y Cross-Site Scripting.</t>
  </si>
  <si>
    <t>Acceso a datos, ejecucion de codigo o alteracion del funcionamiento.</t>
  </si>
  <si>
    <t>Activar reglas contra inyeccion, patrones maliciosos y cargas sospechosas.</t>
  </si>
  <si>
    <t>Validacion de entradas, consultas parametrizadas, codificacion de salida y controles del lado servidor.</t>
  </si>
  <si>
    <t>Enviar cadenas de prueba controladas en formularios y parametros para comprobar deteccion y bloqueo.</t>
  </si>
  <si>
    <t>A06</t>
  </si>
  <si>
    <t>A06:2025 - Diseno inseguro</t>
  </si>
  <si>
    <t>Arquitectura, formularios, flujo de autenticacion y procesos criticos</t>
  </si>
  <si>
    <t>El diseno permite abusar de una funcion aunque sus componentes esten correctamente configurados.</t>
  </si>
  <si>
    <t>Ausencia de controles desde el diseno y falta de analisis de amenazas.</t>
  </si>
  <si>
    <t>Abuso de logica de negocio, automatizacion y evasion de controles.</t>
  </si>
  <si>
    <t>Fraude, uso indebido de funciones o afectacion del servicio.</t>
  </si>
  <si>
    <t>Aplicar limitacion de solicitudes y controles por ruta critica.</t>
  </si>
  <si>
    <t>Modelado de amenazas, requisitos de seguridad y controles dentro de la aplicacion.</t>
  </si>
  <si>
    <t>Analizar flujos criticos y simular uso repetitivo o secuencias no previstas.</t>
  </si>
  <si>
    <t>A07</t>
  </si>
  <si>
    <t>A07:2025 - Fallos de autenticacion</t>
  </si>
  <si>
    <t>Formulario de inicio de sesion, recuperacion de contrasena y sesiones</t>
  </si>
  <si>
    <t>Un atacante intenta acceder mediante credenciales obtenidas o multiples intentos.</t>
  </si>
  <si>
    <t>Contrasenas debiles, falta de limitacion de intentos o gestion inadecuada de sesiones.</t>
  </si>
  <si>
    <t>Fuerza bruta, relleno de credenciales y secuestro de sesion.</t>
  </si>
  <si>
    <t>Acceso no autorizado a cuentas o funciones protegidas.</t>
  </si>
  <si>
    <t>Aplicar rate limiting, desafios y bloqueo temporal ante intentos repetidos.</t>
  </si>
  <si>
    <t>Autenticacion robusta, gestion segura de sesiones y autenticacion multifactor cuando aplique.</t>
  </si>
  <si>
    <t>Ejecutar intentos repetidos controlados y comprobar limitacion, registro y respuesta.</t>
  </si>
  <si>
    <t>A08</t>
  </si>
  <si>
    <t>A08:2025 - Fallos de integridad de software o datos</t>
  </si>
  <si>
    <t>Repositorio, archivos desplegados, actualizaciones y datos intercambiados</t>
  </si>
  <si>
    <t>La aplicacion utiliza codigo, actualizaciones o datos cuya integridad no ha sido verificada.</t>
  </si>
  <si>
    <t>Ausencia de comprobaciones de integridad y confianza en fuentes no verificadas.</t>
  </si>
  <si>
    <t>Manipulacion de archivos, actualizaciones o datos.</t>
  </si>
  <si>
    <t>Alteracion del sistema, ejecucion de componentes no autorizados o perdida de confianza.</t>
  </si>
  <si>
    <t>Restringir cargas sospechosas y detectar patrones anomalos en solicitudes.</t>
  </si>
  <si>
    <t>Validar firmas o hashes, proteger ramas y revisar cambios antes del despliegue.</t>
  </si>
  <si>
    <t>Comprobar controles sobre cargas de archivos y trazabilidad de cambios en el repositorio.</t>
  </si>
  <si>
    <t>A09</t>
  </si>
  <si>
    <t>A09:2025 - Fallos de registro y alertas de seguridad</t>
  </si>
  <si>
    <t>Logs del WAF, aplicacion, servidor y panel de monitoreo</t>
  </si>
  <si>
    <t>Una actividad sospechosa ocurre sin quedar registrada ni generar una alerta.</t>
  </si>
  <si>
    <t>Registro insuficiente, eventos incompletos o ausencia de revision y alertas.</t>
  </si>
  <si>
    <t>Actividad maliciosa no detectada o respuesta tardia.</t>
  </si>
  <si>
    <t>Imposibilidad de investigar incidentes y aumento del impacto.</t>
  </si>
  <si>
    <t>Registrar solicitudes bloqueadas, direccion de origen, regla activada, fecha y recurso afectado.</t>
  </si>
  <si>
    <t>Centralizar logs, definir alertas y proteger la integridad de los registros.</t>
  </si>
  <si>
    <t>Generar solicitudes controladas y verificar que los eventos aparezcan en los registros.</t>
  </si>
  <si>
    <t>A10</t>
  </si>
  <si>
    <t>A10:2025 - Gestion incorrecta de condiciones excepcionales</t>
  </si>
  <si>
    <t>Aplicacion web, API, servidor y mensajes de error</t>
  </si>
  <si>
    <t>Una entrada inesperada genera errores no controlados o revela informacion.</t>
  </si>
  <si>
    <t>Excepciones sin tratamiento, respuestas detalladas o validacion insuficiente de condiciones limite.</t>
  </si>
  <si>
    <t>Provocacion de errores, interrupcion o reconocimiento tecnico.</t>
  </si>
  <si>
    <t>Denegacion parcial del servicio y exposicion de datos internos.</t>
  </si>
  <si>
    <t>Limitar solicitudes anomalas y bloquear patrones que provoquen errores repetidos.</t>
  </si>
  <si>
    <t>Gestionar excepciones, usar mensajes genericos y aplicar validacion de limites.</t>
  </si>
  <si>
    <t>Enviar entradas vacias, extensas, invalidas o inesperadas y revisar la respuesta obtenida.</t>
  </si>
  <si>
    <t>RESUMEN EJECUTIVO DE RIESGOS - WAF SHIELD CLOUD</t>
  </si>
  <si>
    <t>Indicador</t>
  </si>
  <si>
    <t>Cantidad</t>
  </si>
  <si>
    <t>Total de riesgos</t>
  </si>
  <si>
    <t>Riesgos criticos</t>
  </si>
  <si>
    <t>Riesgos altos</t>
  </si>
  <si>
    <t>Riesgos medios</t>
  </si>
  <si>
    <t>Riesgos Bajos</t>
  </si>
  <si>
    <t>Lectura preliminar: la matriz prioriza riesgos potenciales del escenario academico antes de implementar el WAF. Las puntuaciones deben actualizarse tras confirmar activos, arquitectura, reglas y resultados de pruebas controladas.</t>
  </si>
  <si>
    <t>MATRIZ DE VERIFICACION - FASE 2</t>
  </si>
  <si>
    <t>Proyecto 7 WAF Shield Cloud - Responsable: Edwin Eliseo Gomez Flores - Analista QA / Seguridad Jr.</t>
  </si>
  <si>
    <t>ID caso</t>
  </si>
  <si>
    <t>ID riesgo</t>
  </si>
  <si>
    <t>Componente o ruta</t>
  </si>
  <si>
    <t>Caso de verificacion preparado</t>
  </si>
  <si>
    <t>Resultado esperado</t>
  </si>
  <si>
    <t>Evidencia a recopilar</t>
  </si>
  <si>
    <t>Observaciones</t>
  </si>
  <si>
    <t>V-01</t>
  </si>
  <si>
    <t>Control de acceso roto</t>
  </si>
  <si>
    <t>Rutas protegidas / panel administrativo</t>
  </si>
  <si>
    <t>Intentar acceder sin credenciales o con permisos insuficientes.</t>
  </si>
  <si>
    <t>Acceso denegado y recurso protegido no disponible.</t>
  </si>
  <si>
    <t>Respuesta HTTP, captura y registro disponible.</t>
  </si>
  <si>
    <t>Preparado</t>
  </si>
  <si>
    <t>V-02</t>
  </si>
  <si>
    <t>Configuracion incorrecta de seguridad</t>
  </si>
  <si>
    <t>Servidor web / WAF / proxy</t>
  </si>
  <si>
    <t>Revisar metodos permitidos, cabeceras y rutas publicadas.</t>
  </si>
  <si>
    <t>Solo deben estar disponibles los elementos aprobados en el diseno.</t>
  </si>
  <si>
    <t>Captura de configuracion y respuesta HTTP.</t>
  </si>
  <si>
    <t>Revision documental y tecnica pendiente.</t>
  </si>
  <si>
    <t>V-03</t>
  </si>
  <si>
    <t>Cadena de suministro de software</t>
  </si>
  <si>
    <t>Dependencias / repositorio</t>
  </si>
  <si>
    <t>Revisar dependencias declaradas y versiones utilizadas.</t>
  </si>
  <si>
    <t>Dependencias identificadas y sin componentes no autorizados.</t>
  </si>
  <si>
    <t>Listado de dependencias y captura del repositorio.</t>
  </si>
  <si>
    <t>No implica ejecutar explotaciones.</t>
  </si>
  <si>
    <t>V-04</t>
  </si>
  <si>
    <t>Fallos criptograficos</t>
  </si>
  <si>
    <t>Inicio de sesion / transmision</t>
  </si>
  <si>
    <t>Comprobar uso de HTTPS y ausencia de datos sensibles visibles.</t>
  </si>
  <si>
    <t>Conexion segura y sin datos sensibles expuestos en la URL.</t>
  </si>
  <si>
    <t>Captura del navegador, certificado y respuesta HTTP.</t>
  </si>
  <si>
    <t>Validar cuando el entorno este disponible.</t>
  </si>
  <si>
    <t>V-05</t>
  </si>
  <si>
    <t>Inyeccion</t>
  </si>
  <si>
    <t>Formularios / parametros / API</t>
  </si>
  <si>
    <t>Enviar una cadena de prueba controlada en una entrada definida.</t>
  </si>
  <si>
    <t>La entrada debe tratarse de forma segura y segun el control configurado.</t>
  </si>
  <si>
    <t>Respuesta HTTP, captura y registro del WAF.</t>
  </si>
  <si>
    <t>Sin ejecutar en esta entrega.</t>
  </si>
  <si>
    <t>V-06</t>
  </si>
  <si>
    <t>Diseno inseguro</t>
  </si>
  <si>
    <t>Flujos criticos de la aplicacion</t>
  </si>
  <si>
    <t>Revisar un flujo repetitivo o una secuencia no prevista.</t>
  </si>
  <si>
    <t>El flujo debe conservar las restricciones definidas en el diseno.</t>
  </si>
  <si>
    <t>Captura del flujo y registro disponible.</t>
  </si>
  <si>
    <t>V-07</t>
  </si>
  <si>
    <t>Fallos de autenticacion</t>
  </si>
  <si>
    <t>Formulario de inicio de sesion</t>
  </si>
  <si>
    <t>Preparar intentos repetidos controlados de autenticacion.</t>
  </si>
  <si>
    <t>Debe aplicarse la limitacion y registro definidos para el acceso.</t>
  </si>
  <si>
    <t>Cantidad de intentos por definir con el equipo.</t>
  </si>
  <si>
    <t>V-08</t>
  </si>
  <si>
    <t>Integridad de software o datos</t>
  </si>
  <si>
    <t>Repositorio / archivos desplegados</t>
  </si>
  <si>
    <t>Revisar trazabilidad de cambios y controles sobre archivos.</t>
  </si>
  <si>
    <t>Los cambios deben quedar identificados y proceder de fuentes autorizadas.</t>
  </si>
  <si>
    <t>Historial de cambios, commit y captura.</t>
  </si>
  <si>
    <t>Revision sobre repositorio.</t>
  </si>
  <si>
    <t>V-09</t>
  </si>
  <si>
    <t>Registro y alertas de seguridad</t>
  </si>
  <si>
    <t>Logs del WAF / aplicacion</t>
  </si>
  <si>
    <t>Generar posteriormente una solicitud controlada para comprobar el registro.</t>
  </si>
  <si>
    <t>El evento debe registrar fecha, origen, recurso y regla o motivo.</t>
  </si>
  <si>
    <t>Captura del log y detalle del evento.</t>
  </si>
  <si>
    <t>Ejecucion pendiente segun plan.</t>
  </si>
  <si>
    <t>V-10</t>
  </si>
  <si>
    <t>Condiciones excepcionales</t>
  </si>
  <si>
    <t>Aplicacion web / API</t>
  </si>
  <si>
    <t>Preparar entradas vacias, invalidas o fuera de rango.</t>
  </si>
  <si>
    <t>La aplicacion debe responder sin exponer informacion interna.</t>
  </si>
  <si>
    <t>Ruta por confirmar.</t>
  </si>
  <si>
    <t>Flujo  por confirmar.</t>
  </si>
  <si>
    <t>Matriz preparada para futura ejecucion. No se reportan pruebas ejecutadas ni resultados obtenidos.</t>
  </si>
  <si>
    <t>Alcance: se definen casos, resultados esperados y evidencia a recopilar. La ejecucion y el ajuste de falsos positivos quedan para la fase correspondiente en el plan del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</si>
</sst>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1"/>
      <name val="Carlito"/>
    </font>
    <font>
      <b/>
      <sz val="15"/>
      <color theme="0"/>
      <name val="Calibri"/>
    </font>
    <font>
      <b/>
      <sz val="11"/>
      <color rgb="FF17365D"/>
      <name val="Calibri"/>
    </font>
    <font>
      <i/>
      <sz val="10"/>
      <color rgb="FF385723"/>
      <name val="Calibri"/>
    </font>
    <font>
      <b/>
      <sz val="10"/>
      <color rgb="FFFFFFFF"/>
      <name val="Calibri"/>
    </font>
    <font>
      <sz val="1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1"/>
      <color rgb="FF385723"/>
      <name val="Calibri"/>
    </font>
    <font>
      <b/>
      <sz val="11"/>
      <name val="Calibri"/>
    </font>
    <font>
      <b/>
      <sz val="16"/>
      <color rgb="FFFFFFFF"/>
      <name val="Carlito"/>
    </font>
    <font>
      <b/>
      <sz val="10"/>
      <color rgb="FFFFFFFF"/>
      <name val="Carlito"/>
    </font>
    <font>
      <i/>
      <sz val="11"/>
      <color rgb="FF7F6000"/>
      <name val="Carlito"/>
    </font>
    <font>
      <b/>
      <sz val="11"/>
      <color rgb="FFFFFFFF"/>
      <name val="Carlito"/>
    </font>
    <font>
      <b/>
      <sz val="11"/>
      <color rgb="FF375623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theme="1"/>
      </patternFill>
    </fill>
    <fill>
      <patternFill patternType="solid">
        <fgColor rgb="FF17365D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5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5" fillId="0" borderId="0" xfId="0" applyFont="1"/>
    <xf numFmtId="0" fontId="6" fillId="6" borderId="0" xfId="0" applyFont="1" applyFill="1" applyAlignment="1">
      <alignment horizont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6" fillId="6" borderId="0" xfId="0" applyFont="1" applyFill="1" applyAlignment="1">
      <alignment wrapText="1"/>
    </xf>
    <xf numFmtId="0" fontId="5" fillId="0" borderId="0" xfId="0" applyFont="1" applyAlignment="1">
      <alignment horizontal="left" wrapText="1"/>
    </xf>
    <xf numFmtId="0" fontId="6" fillId="5" borderId="1" xfId="0" applyFont="1" applyFill="1" applyBorder="1"/>
    <xf numFmtId="0" fontId="5" fillId="0" borderId="1" xfId="0" applyFont="1" applyBorder="1"/>
    <xf numFmtId="0" fontId="2" fillId="3" borderId="1" xfId="0" applyFont="1" applyFill="1" applyBorder="1"/>
    <xf numFmtId="0" fontId="9" fillId="0" borderId="1" xfId="0" applyFont="1" applyBorder="1"/>
    <xf numFmtId="0" fontId="13" fillId="7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4" fillId="10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6" borderId="0" xfId="0" applyFont="1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/>
    </xf>
    <xf numFmtId="0" fontId="8" fillId="4" borderId="0" xfId="0" applyFont="1" applyFill="1" applyAlignment="1">
      <alignment vertical="center" wrapText="1"/>
    </xf>
    <xf numFmtId="0" fontId="10" fillId="7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/>
    </xf>
    <xf numFmtId="0" fontId="12" fillId="9" borderId="0" xfId="0" applyFont="1" applyFill="1" applyAlignment="1">
      <alignment vertical="center" wrapText="1"/>
    </xf>
  </cellXfs>
  <cellStyles count="1">
    <cellStyle name="Normal" xfId="0" builtinId="0"/>
  </cellStyles>
  <dxfs count="4">
    <dxf>
      <font>
        <b/>
        <color rgb="FF385723"/>
      </font>
      <fill>
        <patternFill>
          <bgColor rgb="FFA9D18E"/>
        </patternFill>
      </fill>
    </dxf>
    <dxf>
      <font>
        <b/>
        <color rgb="FF7F6000"/>
      </font>
      <fill>
        <patternFill>
          <bgColor rgb="FFFFD966"/>
        </patternFill>
      </fill>
    </dxf>
    <dxf>
      <font>
        <b/>
        <color rgb="FF7F2704"/>
      </font>
      <fill>
        <patternFill>
          <bgColor rgb="FFF4B183"/>
        </patternFill>
      </fill>
    </dxf>
    <dxf>
      <font>
        <b/>
        <color rgb="FFFFFFFF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1BF6B2D4-C060-4917-BAFF-4D7B984EE2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Distribucion de riesgos inherentes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Cantidad</c:v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43BF-4284-9606-F6EFFBD1EB1B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43BF-4284-9606-F6EFFBD1EB1B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43BF-4284-9606-F6EFFBD1EB1B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7-43BF-4284-9606-F6EFFBD1EB1B}"/>
              </c:ext>
            </c:extLst>
          </c:dPt>
          <c:dLbls>
            <c:spPr>
              <a:noFill/>
              <a:ln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Resumen!$D$4:$D$7</c:f>
              <c:strCache>
                <c:ptCount val="4"/>
                <c:pt idx="0">
                  <c:v>Critico</c:v>
                </c:pt>
                <c:pt idx="1">
                  <c:v>Alto</c:v>
                </c:pt>
                <c:pt idx="2">
                  <c:v>Medio</c:v>
                </c:pt>
                <c:pt idx="3">
                  <c:v>Bajo</c:v>
                </c:pt>
              </c:strCache>
            </c:strRef>
          </c:cat>
          <c:val>
            <c:numRef>
              <c:f>Resumen!$E$4:$E$7</c:f>
              <c:numCache>
                <c:formatCode>General</c:formatCode>
                <c:ptCount val="4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3BF-4284-9606-F6EFFBD1EB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44823</xdr:colOff>
      <xdr:row>1</xdr:row>
      <xdr:rowOff>44824</xdr:rowOff>
    </xdr:from>
    <xdr:to>
      <xdr:col>14</xdr:col>
      <xdr:colOff>280147</xdr:colOff>
      <xdr:row>15</xdr:row>
      <xdr:rowOff>112059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iesgosOWASP" displayName="tblRiesgosOWASP" ref="A7:P17">
  <tableColumns count="16">
    <tableColumn id="1" xr3:uid="{00000000-0010-0000-0000-000001000000}" name="ID"/>
    <tableColumn id="2" xr3:uid="{00000000-0010-0000-0000-000002000000}" name="Categoria OWASP"/>
    <tableColumn id="3" xr3:uid="{00000000-0010-0000-0000-000003000000}" name="Activo o componente afectado"/>
    <tableColumn id="4" xr3:uid="{00000000-0010-0000-0000-000004000000}" name="Escenario de riesgo"/>
    <tableColumn id="5" xr3:uid="{00000000-0010-0000-0000-000005000000}" name="Vulnerabilidad o causa"/>
    <tableColumn id="6" xr3:uid="{00000000-0010-0000-0000-000006000000}" name="Amenaza"/>
    <tableColumn id="7" xr3:uid="{00000000-0010-0000-0000-000007000000}" name="Consecuencia potencial"/>
    <tableColumn id="8" xr3:uid="{00000000-0010-0000-0000-000008000000}" name="Probabilidad"/>
    <tableColumn id="9" xr3:uid="{00000000-0010-0000-0000-000009000000}" name="Impacto"/>
    <tableColumn id="10" xr3:uid="{00000000-0010-0000-0000-00000A000000}" name="Nivel inherente"/>
    <tableColumn id="11" xr3:uid="{00000000-0010-0000-0000-00000B000000}" name="Clasificacion"/>
    <tableColumn id="12" xr3:uid="{00000000-0010-0000-0000-00000C000000}" name="Control WAF propuesto"/>
    <tableColumn id="13" xr3:uid="{00000000-0010-0000-0000-00000D000000}" name="Control complementario"/>
    <tableColumn id="14" xr3:uid="{00000000-0010-0000-0000-00000E000000}" name="Escenario preliminar de validacion"/>
    <tableColumn id="15" xr3:uid="{00000000-0010-0000-0000-00000F000000}" name="Responsable"/>
    <tableColumn id="16" xr3:uid="{00000000-0010-0000-0000-000010000000}" name="Est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VerificacionFase2" displayName="TablaVerificacionFase2" ref="A7:I17">
  <tableColumns count="9">
    <tableColumn id="1" xr3:uid="{00000000-0010-0000-0100-000001000000}" name="ID caso"/>
    <tableColumn id="2" xr3:uid="{00000000-0010-0000-0100-000002000000}" name="ID riesgo"/>
    <tableColumn id="3" xr3:uid="{00000000-0010-0000-0100-000003000000}" name="Categoria OWASP"/>
    <tableColumn id="4" xr3:uid="{00000000-0010-0000-0100-000004000000}" name="Componente o ruta"/>
    <tableColumn id="5" xr3:uid="{00000000-0010-0000-0100-000005000000}" name="Caso de verificacion preparado"/>
    <tableColumn id="6" xr3:uid="{00000000-0010-0000-0100-000006000000}" name="Resultado esperado"/>
    <tableColumn id="7" xr3:uid="{00000000-0010-0000-0100-000007000000}" name="Evidencia a recopilar"/>
    <tableColumn id="8" xr3:uid="{00000000-0010-0000-0100-000008000000}" name="Estado"/>
    <tableColumn id="9" xr3:uid="{00000000-0010-0000-0100-000009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H13"/>
  <sheetViews>
    <sheetView workbookViewId="0"/>
  </sheetViews>
  <sheetFormatPr baseColWidth="10" defaultColWidth="9" defaultRowHeight="15"/>
  <cols>
    <col min="1" max="1" width="19" style="4" customWidth="1"/>
    <col min="2" max="2" width="30" style="4" customWidth="1"/>
    <col min="3" max="8" width="19" style="4" customWidth="1"/>
    <col min="9" max="16384" width="9" style="4"/>
  </cols>
  <sheetData>
    <row r="1" spans="1:8" ht="27.95" customHeight="1">
      <c r="A1" s="18" t="s">
        <v>0</v>
      </c>
      <c r="B1" s="18"/>
      <c r="C1" s="18"/>
      <c r="D1" s="18"/>
      <c r="E1" s="18"/>
      <c r="F1" s="18"/>
      <c r="G1" s="18"/>
      <c r="H1" s="18"/>
    </row>
    <row r="3" spans="1:8">
      <c r="A3" s="5" t="s">
        <v>1</v>
      </c>
      <c r="B3" s="5" t="s">
        <v>2</v>
      </c>
      <c r="C3" s="6"/>
      <c r="D3" s="5" t="s">
        <v>1</v>
      </c>
      <c r="E3" s="5" t="s">
        <v>3</v>
      </c>
      <c r="F3" s="6"/>
      <c r="G3" s="5" t="s">
        <v>4</v>
      </c>
      <c r="H3" s="5" t="s">
        <v>5</v>
      </c>
    </row>
    <row r="4" spans="1:8" s="7" customFormat="1">
      <c r="A4" s="7">
        <v>1</v>
      </c>
      <c r="B4" s="7" t="s">
        <v>6</v>
      </c>
      <c r="D4" s="7">
        <v>1</v>
      </c>
      <c r="E4" s="7" t="s">
        <v>7</v>
      </c>
      <c r="G4" s="7" t="s">
        <v>8</v>
      </c>
      <c r="H4" s="7" t="s">
        <v>9</v>
      </c>
    </row>
    <row r="5" spans="1:8" s="7" customFormat="1">
      <c r="A5" s="7">
        <v>2</v>
      </c>
      <c r="B5" s="7" t="s">
        <v>10</v>
      </c>
      <c r="D5" s="7">
        <v>2</v>
      </c>
      <c r="E5" s="7" t="s">
        <v>11</v>
      </c>
      <c r="G5" s="7" t="s">
        <v>12</v>
      </c>
      <c r="H5" s="7" t="s">
        <v>13</v>
      </c>
    </row>
    <row r="6" spans="1:8" s="7" customFormat="1">
      <c r="A6" s="7">
        <v>3</v>
      </c>
      <c r="B6" s="7" t="s">
        <v>14</v>
      </c>
      <c r="D6" s="7">
        <v>3</v>
      </c>
      <c r="E6" s="7" t="s">
        <v>15</v>
      </c>
      <c r="G6" s="7" t="s">
        <v>16</v>
      </c>
      <c r="H6" s="7" t="s">
        <v>17</v>
      </c>
    </row>
    <row r="7" spans="1:8" s="7" customFormat="1">
      <c r="A7" s="7">
        <v>4</v>
      </c>
      <c r="B7" s="7" t="s">
        <v>18</v>
      </c>
      <c r="D7" s="7">
        <v>4</v>
      </c>
      <c r="E7" s="7" t="s">
        <v>19</v>
      </c>
      <c r="G7" s="7" t="s">
        <v>20</v>
      </c>
      <c r="H7" s="7" t="s">
        <v>21</v>
      </c>
    </row>
    <row r="8" spans="1:8" s="7" customFormat="1">
      <c r="A8" s="7">
        <v>5</v>
      </c>
      <c r="B8" s="7" t="s">
        <v>22</v>
      </c>
      <c r="D8" s="7">
        <v>5</v>
      </c>
      <c r="E8" s="7" t="s">
        <v>21</v>
      </c>
    </row>
    <row r="9" spans="1:8">
      <c r="A9" s="6"/>
      <c r="B9" s="6"/>
      <c r="C9" s="6"/>
      <c r="D9" s="6"/>
      <c r="E9" s="6"/>
      <c r="F9" s="6"/>
      <c r="G9" s="6"/>
      <c r="H9" s="6"/>
    </row>
    <row r="10" spans="1:8">
      <c r="A10" s="6"/>
      <c r="B10" s="6"/>
      <c r="C10" s="6"/>
      <c r="D10" s="6"/>
      <c r="E10" s="6"/>
      <c r="F10" s="6"/>
      <c r="G10" s="6"/>
      <c r="H10" s="6"/>
    </row>
    <row r="11" spans="1:8">
      <c r="A11" s="8" t="s">
        <v>23</v>
      </c>
      <c r="B11" s="8" t="s">
        <v>24</v>
      </c>
      <c r="C11" s="6"/>
      <c r="D11" s="6"/>
      <c r="E11" s="6"/>
      <c r="F11" s="6"/>
      <c r="G11" s="6"/>
      <c r="H11" s="6"/>
    </row>
    <row r="12" spans="1:8">
      <c r="A12" s="6" t="s">
        <v>25</v>
      </c>
      <c r="B12" s="6" t="s">
        <v>26</v>
      </c>
      <c r="C12" s="6"/>
      <c r="D12" s="6"/>
      <c r="E12" s="6"/>
      <c r="F12" s="6"/>
      <c r="G12" s="6"/>
      <c r="H12" s="6"/>
    </row>
    <row r="13" spans="1:8" ht="30">
      <c r="A13" s="9" t="s">
        <v>27</v>
      </c>
      <c r="B13" s="6" t="s">
        <v>28</v>
      </c>
      <c r="C13" s="6"/>
      <c r="D13" s="6"/>
      <c r="E13" s="6"/>
      <c r="F13" s="6"/>
      <c r="G13" s="6"/>
      <c r="H13" s="6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P17"/>
  <sheetViews>
    <sheetView workbookViewId="0">
      <selection sqref="A1:P1"/>
    </sheetView>
  </sheetViews>
  <sheetFormatPr baseColWidth="10" defaultColWidth="9" defaultRowHeight="15"/>
  <cols>
    <col min="1" max="1" width="8" style="4" customWidth="1"/>
    <col min="2" max="2" width="34" style="4" customWidth="1"/>
    <col min="3" max="3" width="31" style="4" customWidth="1"/>
    <col min="4" max="5" width="36" style="4" customWidth="1"/>
    <col min="6" max="6" width="34" style="4" customWidth="1"/>
    <col min="7" max="7" width="35" style="4" customWidth="1"/>
    <col min="8" max="8" width="12" style="4" customWidth="1"/>
    <col min="9" max="9" width="10" style="4" customWidth="1"/>
    <col min="10" max="11" width="14" style="4" customWidth="1"/>
    <col min="12" max="12" width="38" style="4" customWidth="1"/>
    <col min="13" max="13" width="39" style="4" customWidth="1"/>
    <col min="14" max="14" width="42" style="4" customWidth="1"/>
    <col min="15" max="15" width="27" style="4" customWidth="1"/>
    <col min="16" max="16" width="23" style="4" customWidth="1"/>
  </cols>
  <sheetData>
    <row r="1" spans="1:16" ht="30" customHeight="1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ht="23.1" customHeight="1">
      <c r="A2" s="20" t="s">
        <v>30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3.1" customHeight="1">
      <c r="A3" s="20" t="s">
        <v>31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</row>
    <row r="4" spans="1:16" ht="23.1" customHeight="1">
      <c r="A4" s="20" t="s">
        <v>32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1:16" ht="32.1" customHeight="1">
      <c r="A5" s="21" t="s">
        <v>33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7" spans="1:16" ht="42" customHeight="1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2</v>
      </c>
      <c r="I7" s="1" t="s">
        <v>3</v>
      </c>
      <c r="J7" s="1" t="s">
        <v>41</v>
      </c>
      <c r="K7" s="1" t="s">
        <v>5</v>
      </c>
      <c r="L7" s="1" t="s">
        <v>42</v>
      </c>
      <c r="M7" s="1" t="s">
        <v>43</v>
      </c>
      <c r="N7" s="1" t="s">
        <v>44</v>
      </c>
      <c r="O7" s="1" t="s">
        <v>45</v>
      </c>
      <c r="P7" s="1" t="s">
        <v>46</v>
      </c>
    </row>
    <row r="8" spans="1:16" ht="30">
      <c r="A8" s="2" t="s">
        <v>47</v>
      </c>
      <c r="B8" s="3" t="s">
        <v>48</v>
      </c>
      <c r="C8" s="3" t="s">
        <v>49</v>
      </c>
      <c r="D8" s="3" t="s">
        <v>50</v>
      </c>
      <c r="E8" s="3" t="s">
        <v>51</v>
      </c>
      <c r="F8" s="3" t="s">
        <v>52</v>
      </c>
      <c r="G8" s="3" t="s">
        <v>53</v>
      </c>
      <c r="H8" s="2">
        <v>4</v>
      </c>
      <c r="I8" s="2">
        <v>5</v>
      </c>
      <c r="J8" s="2">
        <f t="shared" ref="J8:J17" si="0">H8*I8</f>
        <v>20</v>
      </c>
      <c r="K8" s="2" t="str">
        <f t="shared" ref="K8:K17" si="1">IF(J8&gt;=20,"Critico",IF(J8&gt;=15,"Alto",IF(J8&gt;=8,"Medio","Bajo")))</f>
        <v>Critico</v>
      </c>
      <c r="L8" s="3" t="s">
        <v>54</v>
      </c>
      <c r="M8" s="3" t="s">
        <v>55</v>
      </c>
      <c r="N8" s="3" t="s">
        <v>56</v>
      </c>
      <c r="O8" s="3" t="s">
        <v>57</v>
      </c>
      <c r="P8" s="3" t="s">
        <v>58</v>
      </c>
    </row>
    <row r="9" spans="1:16" ht="45">
      <c r="A9" s="2" t="s">
        <v>59</v>
      </c>
      <c r="B9" s="3" t="s">
        <v>60</v>
      </c>
      <c r="C9" s="3" t="s">
        <v>61</v>
      </c>
      <c r="D9" s="3" t="s">
        <v>62</v>
      </c>
      <c r="E9" s="3" t="s">
        <v>63</v>
      </c>
      <c r="F9" s="3" t="s">
        <v>64</v>
      </c>
      <c r="G9" s="3" t="s">
        <v>65</v>
      </c>
      <c r="H9" s="2">
        <v>4</v>
      </c>
      <c r="I9" s="2">
        <v>5</v>
      </c>
      <c r="J9" s="2">
        <f t="shared" si="0"/>
        <v>20</v>
      </c>
      <c r="K9" s="2" t="str">
        <f t="shared" si="1"/>
        <v>Critico</v>
      </c>
      <c r="L9" s="3" t="s">
        <v>66</v>
      </c>
      <c r="M9" s="3" t="s">
        <v>67</v>
      </c>
      <c r="N9" s="3" t="s">
        <v>68</v>
      </c>
      <c r="O9" s="3" t="s">
        <v>57</v>
      </c>
      <c r="P9" s="3" t="s">
        <v>58</v>
      </c>
    </row>
    <row r="10" spans="1:16" ht="45">
      <c r="A10" s="2" t="s">
        <v>69</v>
      </c>
      <c r="B10" s="3" t="s">
        <v>70</v>
      </c>
      <c r="C10" s="3" t="s">
        <v>71</v>
      </c>
      <c r="D10" s="3" t="s">
        <v>72</v>
      </c>
      <c r="E10" s="3" t="s">
        <v>73</v>
      </c>
      <c r="F10" s="3" t="s">
        <v>74</v>
      </c>
      <c r="G10" s="3" t="s">
        <v>75</v>
      </c>
      <c r="H10" s="2">
        <v>3</v>
      </c>
      <c r="I10" s="2">
        <v>5</v>
      </c>
      <c r="J10" s="2">
        <f t="shared" si="0"/>
        <v>15</v>
      </c>
      <c r="K10" s="2" t="str">
        <f t="shared" si="1"/>
        <v>Alto</v>
      </c>
      <c r="L10" s="3" t="s">
        <v>76</v>
      </c>
      <c r="M10" s="3" t="s">
        <v>77</v>
      </c>
      <c r="N10" s="3" t="s">
        <v>78</v>
      </c>
      <c r="O10" s="3" t="s">
        <v>57</v>
      </c>
      <c r="P10" s="3" t="s">
        <v>58</v>
      </c>
    </row>
    <row r="11" spans="1:16" ht="30">
      <c r="A11" s="2" t="s">
        <v>79</v>
      </c>
      <c r="B11" s="3" t="s">
        <v>80</v>
      </c>
      <c r="C11" s="3" t="s">
        <v>81</v>
      </c>
      <c r="D11" s="3" t="s">
        <v>82</v>
      </c>
      <c r="E11" s="3" t="s">
        <v>83</v>
      </c>
      <c r="F11" s="3" t="s">
        <v>84</v>
      </c>
      <c r="G11" s="3" t="s">
        <v>85</v>
      </c>
      <c r="H11" s="2">
        <v>3</v>
      </c>
      <c r="I11" s="2">
        <v>5</v>
      </c>
      <c r="J11" s="2">
        <f t="shared" si="0"/>
        <v>15</v>
      </c>
      <c r="K11" s="2" t="str">
        <f t="shared" si="1"/>
        <v>Alto</v>
      </c>
      <c r="L11" s="3" t="s">
        <v>86</v>
      </c>
      <c r="M11" s="3" t="s">
        <v>87</v>
      </c>
      <c r="N11" s="3" t="s">
        <v>88</v>
      </c>
      <c r="O11" s="3" t="s">
        <v>57</v>
      </c>
      <c r="P11" s="3" t="s">
        <v>58</v>
      </c>
    </row>
    <row r="12" spans="1:16" ht="45">
      <c r="A12" s="2" t="s">
        <v>89</v>
      </c>
      <c r="B12" s="3" t="s">
        <v>90</v>
      </c>
      <c r="C12" s="3" t="s">
        <v>91</v>
      </c>
      <c r="D12" s="3" t="s">
        <v>92</v>
      </c>
      <c r="E12" s="3" t="s">
        <v>93</v>
      </c>
      <c r="F12" s="3" t="s">
        <v>94</v>
      </c>
      <c r="G12" s="3" t="s">
        <v>95</v>
      </c>
      <c r="H12" s="2">
        <v>5</v>
      </c>
      <c r="I12" s="2">
        <v>5</v>
      </c>
      <c r="J12" s="2">
        <f t="shared" si="0"/>
        <v>25</v>
      </c>
      <c r="K12" s="2" t="str">
        <f t="shared" si="1"/>
        <v>Critico</v>
      </c>
      <c r="L12" s="3" t="s">
        <v>96</v>
      </c>
      <c r="M12" s="3" t="s">
        <v>97</v>
      </c>
      <c r="N12" s="3" t="s">
        <v>98</v>
      </c>
      <c r="O12" s="3" t="s">
        <v>57</v>
      </c>
      <c r="P12" s="3" t="s">
        <v>58</v>
      </c>
    </row>
    <row r="13" spans="1:16" ht="45">
      <c r="A13" s="2" t="s">
        <v>99</v>
      </c>
      <c r="B13" s="3" t="s">
        <v>100</v>
      </c>
      <c r="C13" s="3" t="s">
        <v>101</v>
      </c>
      <c r="D13" s="3" t="s">
        <v>102</v>
      </c>
      <c r="E13" s="3" t="s">
        <v>103</v>
      </c>
      <c r="F13" s="3" t="s">
        <v>104</v>
      </c>
      <c r="G13" s="3" t="s">
        <v>105</v>
      </c>
      <c r="H13" s="2">
        <v>3</v>
      </c>
      <c r="I13" s="2">
        <v>5</v>
      </c>
      <c r="J13" s="2">
        <f t="shared" si="0"/>
        <v>15</v>
      </c>
      <c r="K13" s="2" t="str">
        <f t="shared" si="1"/>
        <v>Alto</v>
      </c>
      <c r="L13" s="3" t="s">
        <v>106</v>
      </c>
      <c r="M13" s="3" t="s">
        <v>107</v>
      </c>
      <c r="N13" s="3" t="s">
        <v>108</v>
      </c>
      <c r="O13" s="3" t="s">
        <v>57</v>
      </c>
      <c r="P13" s="3" t="s">
        <v>58</v>
      </c>
    </row>
    <row r="14" spans="1:16" ht="45">
      <c r="A14" s="2" t="s">
        <v>109</v>
      </c>
      <c r="B14" s="3" t="s">
        <v>110</v>
      </c>
      <c r="C14" s="3" t="s">
        <v>111</v>
      </c>
      <c r="D14" s="3" t="s">
        <v>112</v>
      </c>
      <c r="E14" s="3" t="s">
        <v>113</v>
      </c>
      <c r="F14" s="3" t="s">
        <v>114</v>
      </c>
      <c r="G14" s="3" t="s">
        <v>115</v>
      </c>
      <c r="H14" s="2">
        <v>4</v>
      </c>
      <c r="I14" s="2">
        <v>5</v>
      </c>
      <c r="J14" s="2">
        <f t="shared" si="0"/>
        <v>20</v>
      </c>
      <c r="K14" s="2" t="str">
        <f t="shared" si="1"/>
        <v>Critico</v>
      </c>
      <c r="L14" s="3" t="s">
        <v>116</v>
      </c>
      <c r="M14" s="3" t="s">
        <v>117</v>
      </c>
      <c r="N14" s="3" t="s">
        <v>118</v>
      </c>
      <c r="O14" s="3" t="s">
        <v>57</v>
      </c>
      <c r="P14" s="3" t="s">
        <v>58</v>
      </c>
    </row>
    <row r="15" spans="1:16" ht="45">
      <c r="A15" s="2" t="s">
        <v>119</v>
      </c>
      <c r="B15" s="3" t="s">
        <v>120</v>
      </c>
      <c r="C15" s="3" t="s">
        <v>121</v>
      </c>
      <c r="D15" s="3" t="s">
        <v>122</v>
      </c>
      <c r="E15" s="3" t="s">
        <v>123</v>
      </c>
      <c r="F15" s="3" t="s">
        <v>124</v>
      </c>
      <c r="G15" s="3" t="s">
        <v>125</v>
      </c>
      <c r="H15" s="2">
        <v>3</v>
      </c>
      <c r="I15" s="2">
        <v>4</v>
      </c>
      <c r="J15" s="2">
        <f t="shared" si="0"/>
        <v>12</v>
      </c>
      <c r="K15" s="2" t="str">
        <f t="shared" si="1"/>
        <v>Medio</v>
      </c>
      <c r="L15" s="3" t="s">
        <v>126</v>
      </c>
      <c r="M15" s="3" t="s">
        <v>127</v>
      </c>
      <c r="N15" s="3" t="s">
        <v>128</v>
      </c>
      <c r="O15" s="3" t="s">
        <v>57</v>
      </c>
      <c r="P15" s="3" t="s">
        <v>58</v>
      </c>
    </row>
    <row r="16" spans="1:16" ht="45">
      <c r="A16" s="2" t="s">
        <v>129</v>
      </c>
      <c r="B16" s="3" t="s">
        <v>130</v>
      </c>
      <c r="C16" s="3" t="s">
        <v>131</v>
      </c>
      <c r="D16" s="3" t="s">
        <v>132</v>
      </c>
      <c r="E16" s="3" t="s">
        <v>133</v>
      </c>
      <c r="F16" s="3" t="s">
        <v>134</v>
      </c>
      <c r="G16" s="3" t="s">
        <v>135</v>
      </c>
      <c r="H16" s="2">
        <v>4</v>
      </c>
      <c r="I16" s="2">
        <v>5</v>
      </c>
      <c r="J16" s="2">
        <f t="shared" si="0"/>
        <v>20</v>
      </c>
      <c r="K16" s="2" t="str">
        <f t="shared" si="1"/>
        <v>Critico</v>
      </c>
      <c r="L16" s="3" t="s">
        <v>136</v>
      </c>
      <c r="M16" s="3" t="s">
        <v>137</v>
      </c>
      <c r="N16" s="3" t="s">
        <v>138</v>
      </c>
      <c r="O16" s="3" t="s">
        <v>57</v>
      </c>
      <c r="P16" s="3" t="s">
        <v>58</v>
      </c>
    </row>
    <row r="17" spans="1:16" ht="45">
      <c r="A17" s="2" t="s">
        <v>139</v>
      </c>
      <c r="B17" s="3" t="s">
        <v>140</v>
      </c>
      <c r="C17" s="3" t="s">
        <v>141</v>
      </c>
      <c r="D17" s="3" t="s">
        <v>142</v>
      </c>
      <c r="E17" s="3" t="s">
        <v>143</v>
      </c>
      <c r="F17" s="3" t="s">
        <v>144</v>
      </c>
      <c r="G17" s="3" t="s">
        <v>145</v>
      </c>
      <c r="H17" s="2">
        <v>3</v>
      </c>
      <c r="I17" s="2">
        <v>4</v>
      </c>
      <c r="J17" s="2">
        <f t="shared" si="0"/>
        <v>12</v>
      </c>
      <c r="K17" s="2" t="str">
        <f t="shared" si="1"/>
        <v>Medio</v>
      </c>
      <c r="L17" s="3" t="s">
        <v>146</v>
      </c>
      <c r="M17" s="3" t="s">
        <v>147</v>
      </c>
      <c r="N17" s="3" t="s">
        <v>148</v>
      </c>
      <c r="O17" s="3" t="s">
        <v>57</v>
      </c>
      <c r="P17" s="3" t="s">
        <v>58</v>
      </c>
    </row>
  </sheetData>
  <mergeCells count="5">
    <mergeCell ref="A1:P1"/>
    <mergeCell ref="A2:P2"/>
    <mergeCell ref="A3:P3"/>
    <mergeCell ref="A4:P4"/>
    <mergeCell ref="A5:P5"/>
  </mergeCells>
  <conditionalFormatting sqref="J8:J17">
    <cfRule type="dataBar" priority="5">
      <dataBar>
        <cfvo type="min"/>
        <cfvo type="max"/>
        <color rgb="FF5B9BD5"/>
      </dataBar>
    </cfRule>
  </conditionalFormatting>
  <conditionalFormatting sqref="K8:K17">
    <cfRule type="expression" dxfId="3" priority="1">
      <formula>K8="Critico"</formula>
    </cfRule>
    <cfRule type="expression" dxfId="2" priority="2">
      <formula>K8="Alto"</formula>
    </cfRule>
    <cfRule type="expression" dxfId="1" priority="3">
      <formula>K8="Medio"</formula>
    </cfRule>
    <cfRule type="expression" dxfId="0" priority="4">
      <formula>K8="Bajo"</formula>
    </cfRule>
  </conditionalFormatting>
  <dataValidations count="2">
    <dataValidation type="list" sqref="H8:I17" xr:uid="{00000000-0002-0000-0100-000000000000}">
      <formula1>"1,2,3,4,5"</formula1>
    </dataValidation>
    <dataValidation type="list" sqref="P8:P17" xr:uid="{00000000-0002-0000-0100-000001000000}">
      <formula1>"Pendiente de validacion,En analisis,Validado,Control definido,Cerrado"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H15"/>
  <sheetViews>
    <sheetView workbookViewId="0">
      <selection sqref="A1:H1"/>
    </sheetView>
  </sheetViews>
  <sheetFormatPr baseColWidth="10" defaultColWidth="9" defaultRowHeight="15"/>
  <cols>
    <col min="1" max="1" width="28" style="4" customWidth="1"/>
    <col min="2" max="2" width="16" style="4" customWidth="1"/>
    <col min="3" max="3" width="9" style="4"/>
    <col min="4" max="4" width="18" style="4" customWidth="1"/>
    <col min="5" max="5" width="12" style="4" customWidth="1"/>
    <col min="6" max="16384" width="9" style="4"/>
  </cols>
  <sheetData>
    <row r="1" spans="1:8" ht="30" customHeight="1">
      <c r="A1" s="22" t="s">
        <v>149</v>
      </c>
      <c r="B1" s="22"/>
      <c r="C1" s="22"/>
      <c r="D1" s="22"/>
      <c r="E1" s="22"/>
      <c r="F1" s="22"/>
      <c r="G1" s="22"/>
      <c r="H1" s="22"/>
    </row>
    <row r="3" spans="1:8" ht="23.1" customHeight="1">
      <c r="A3" s="10" t="s">
        <v>150</v>
      </c>
      <c r="B3" s="10" t="s">
        <v>1</v>
      </c>
      <c r="D3" s="10" t="s">
        <v>5</v>
      </c>
      <c r="E3" s="10" t="s">
        <v>151</v>
      </c>
    </row>
    <row r="4" spans="1:8" ht="23.1" customHeight="1">
      <c r="A4" s="12" t="s">
        <v>152</v>
      </c>
      <c r="B4" s="13">
        <f>COUNTA('Matriz Riesgos OWASP'!$A$8:$A$17)</f>
        <v>10</v>
      </c>
      <c r="D4" s="11" t="s">
        <v>21</v>
      </c>
      <c r="E4" s="11">
        <f>COUNTIF('Matriz Riesgos OWASP'!$K$8:$K$17,D4)</f>
        <v>5</v>
      </c>
    </row>
    <row r="5" spans="1:8" ht="23.1" customHeight="1">
      <c r="A5" s="12" t="s">
        <v>153</v>
      </c>
      <c r="B5" s="11">
        <f>COUNTIF('Matriz Riesgos OWASP'!$K$8:$K$17,"Critico")</f>
        <v>5</v>
      </c>
      <c r="D5" s="11" t="s">
        <v>17</v>
      </c>
      <c r="E5" s="11">
        <f>COUNTIF('Matriz Riesgos OWASP'!$K$8:$K$17,D5)</f>
        <v>3</v>
      </c>
    </row>
    <row r="6" spans="1:8" ht="23.1" customHeight="1">
      <c r="A6" s="12" t="s">
        <v>154</v>
      </c>
      <c r="B6" s="11">
        <f>COUNTIF('Matriz Riesgos OWASP'!$K$8:$K$17,"Alto")</f>
        <v>3</v>
      </c>
      <c r="D6" s="11" t="s">
        <v>13</v>
      </c>
      <c r="E6" s="11">
        <f>COUNTIF('Matriz Riesgos OWASP'!$K$8:$K$17,D6)</f>
        <v>2</v>
      </c>
    </row>
    <row r="7" spans="1:8" ht="23.1" customHeight="1">
      <c r="A7" s="12" t="s">
        <v>155</v>
      </c>
      <c r="B7" s="11">
        <f>COUNTIF('Matriz Riesgos OWASP'!$K$8:$K$17,"Medio")</f>
        <v>2</v>
      </c>
      <c r="D7" s="11" t="s">
        <v>9</v>
      </c>
      <c r="E7" s="11">
        <f>COUNTIF('Matriz Riesgos OWASP'!$K$8:$K$17,D7)</f>
        <v>0</v>
      </c>
    </row>
    <row r="8" spans="1:8">
      <c r="A8" s="12" t="s">
        <v>156</v>
      </c>
      <c r="B8" s="11">
        <f>COUNTIF('Matriz Riesgos OWASP'!$K$8:$K$17,"Bajo")</f>
        <v>0</v>
      </c>
    </row>
    <row r="10" spans="1:8">
      <c r="A10" s="23" t="s">
        <v>157</v>
      </c>
      <c r="B10" s="23"/>
    </row>
    <row r="11" spans="1:8">
      <c r="A11" s="23"/>
      <c r="B11" s="23"/>
    </row>
    <row r="12" spans="1:8">
      <c r="A12" s="23"/>
      <c r="B12" s="23"/>
    </row>
    <row r="13" spans="1:8">
      <c r="A13" s="23"/>
      <c r="B13" s="23"/>
    </row>
    <row r="14" spans="1:8">
      <c r="A14" s="23"/>
      <c r="B14" s="23"/>
    </row>
    <row r="15" spans="1:8">
      <c r="A15" s="23"/>
      <c r="B15" s="23"/>
    </row>
  </sheetData>
  <mergeCells count="2">
    <mergeCell ref="A1:H1"/>
    <mergeCell ref="A10:B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17"/>
  <sheetViews>
    <sheetView tabSelected="1" zoomScale="90" zoomScaleNormal="90" workbookViewId="0">
      <selection activeCell="A5" sqref="A5:I5"/>
    </sheetView>
  </sheetViews>
  <sheetFormatPr baseColWidth="10" defaultColWidth="9" defaultRowHeight="14.25"/>
  <cols>
    <col min="1" max="2" width="10" customWidth="1"/>
    <col min="3" max="3" width="24" customWidth="1"/>
    <col min="4" max="4" width="26" customWidth="1"/>
    <col min="5" max="5" width="36" customWidth="1"/>
    <col min="6" max="6" width="34" customWidth="1"/>
    <col min="7" max="7" width="30" customWidth="1"/>
    <col min="8" max="8" width="14" customWidth="1"/>
    <col min="9" max="9" width="28" customWidth="1"/>
  </cols>
  <sheetData>
    <row r="1" spans="1:9" ht="27.95" customHeight="1">
      <c r="A1" s="24" t="s">
        <v>158</v>
      </c>
      <c r="B1" s="24"/>
      <c r="C1" s="24"/>
      <c r="D1" s="24"/>
      <c r="E1" s="24"/>
      <c r="F1" s="24"/>
      <c r="G1" s="24"/>
      <c r="H1" s="24"/>
      <c r="I1" s="24"/>
    </row>
    <row r="2" spans="1:9" ht="21.95" customHeight="1">
      <c r="A2" s="25" t="s">
        <v>159</v>
      </c>
      <c r="B2" s="25"/>
      <c r="C2" s="25"/>
      <c r="D2" s="25"/>
      <c r="E2" s="25"/>
      <c r="F2" s="25"/>
      <c r="G2" s="25"/>
      <c r="H2" s="25"/>
      <c r="I2" s="25"/>
    </row>
    <row r="4" spans="1:9" ht="33.950000000000003" customHeight="1">
      <c r="A4" s="26" t="s">
        <v>235</v>
      </c>
      <c r="B4" s="26"/>
      <c r="C4" s="26"/>
      <c r="D4" s="26"/>
      <c r="E4" s="26"/>
      <c r="F4" s="26"/>
      <c r="G4" s="26"/>
      <c r="H4" s="26"/>
      <c r="I4" s="26"/>
    </row>
    <row r="5" spans="1:9" ht="33.950000000000003" customHeight="1">
      <c r="A5" s="26" t="s">
        <v>236</v>
      </c>
      <c r="B5" s="26"/>
      <c r="C5" s="26"/>
      <c r="D5" s="26"/>
      <c r="E5" s="26"/>
      <c r="F5" s="26"/>
      <c r="G5" s="26"/>
      <c r="H5" s="26"/>
      <c r="I5" s="26"/>
    </row>
    <row r="7" spans="1:9" ht="32.1" customHeight="1">
      <c r="A7" s="14" t="s">
        <v>160</v>
      </c>
      <c r="B7" s="14" t="s">
        <v>161</v>
      </c>
      <c r="C7" s="14" t="s">
        <v>35</v>
      </c>
      <c r="D7" s="14" t="s">
        <v>162</v>
      </c>
      <c r="E7" s="14" t="s">
        <v>163</v>
      </c>
      <c r="F7" s="14" t="s">
        <v>164</v>
      </c>
      <c r="G7" s="14" t="s">
        <v>165</v>
      </c>
      <c r="H7" s="14" t="s">
        <v>46</v>
      </c>
      <c r="I7" s="14" t="s">
        <v>166</v>
      </c>
    </row>
    <row r="8" spans="1:9" ht="51.95" customHeight="1">
      <c r="A8" s="17" t="s">
        <v>167</v>
      </c>
      <c r="B8" s="17" t="s">
        <v>47</v>
      </c>
      <c r="C8" s="17" t="s">
        <v>168</v>
      </c>
      <c r="D8" s="15" t="s">
        <v>169</v>
      </c>
      <c r="E8" s="15" t="s">
        <v>170</v>
      </c>
      <c r="F8" s="15" t="s">
        <v>171</v>
      </c>
      <c r="G8" s="15" t="s">
        <v>172</v>
      </c>
      <c r="H8" s="16" t="s">
        <v>173</v>
      </c>
      <c r="I8" s="15" t="s">
        <v>233</v>
      </c>
    </row>
    <row r="9" spans="1:9" ht="51.95" customHeight="1">
      <c r="A9" s="17" t="s">
        <v>174</v>
      </c>
      <c r="B9" s="17" t="s">
        <v>59</v>
      </c>
      <c r="C9" s="17" t="s">
        <v>175</v>
      </c>
      <c r="D9" s="15" t="s">
        <v>176</v>
      </c>
      <c r="E9" s="15" t="s">
        <v>177</v>
      </c>
      <c r="F9" s="15" t="s">
        <v>178</v>
      </c>
      <c r="G9" s="15" t="s">
        <v>179</v>
      </c>
      <c r="H9" s="16" t="s">
        <v>173</v>
      </c>
      <c r="I9" s="15" t="s">
        <v>180</v>
      </c>
    </row>
    <row r="10" spans="1:9" ht="51.95" customHeight="1">
      <c r="A10" s="17" t="s">
        <v>181</v>
      </c>
      <c r="B10" s="17" t="s">
        <v>69</v>
      </c>
      <c r="C10" s="17" t="s">
        <v>182</v>
      </c>
      <c r="D10" s="15" t="s">
        <v>183</v>
      </c>
      <c r="E10" s="15" t="s">
        <v>184</v>
      </c>
      <c r="F10" s="15" t="s">
        <v>185</v>
      </c>
      <c r="G10" s="15" t="s">
        <v>186</v>
      </c>
      <c r="H10" s="16" t="s">
        <v>173</v>
      </c>
      <c r="I10" s="15" t="s">
        <v>187</v>
      </c>
    </row>
    <row r="11" spans="1:9" ht="51.95" customHeight="1">
      <c r="A11" s="17" t="s">
        <v>188</v>
      </c>
      <c r="B11" s="17" t="s">
        <v>79</v>
      </c>
      <c r="C11" s="17" t="s">
        <v>189</v>
      </c>
      <c r="D11" s="15" t="s">
        <v>190</v>
      </c>
      <c r="E11" s="15" t="s">
        <v>191</v>
      </c>
      <c r="F11" s="15" t="s">
        <v>192</v>
      </c>
      <c r="G11" s="15" t="s">
        <v>193</v>
      </c>
      <c r="H11" s="16" t="s">
        <v>173</v>
      </c>
      <c r="I11" s="15" t="s">
        <v>194</v>
      </c>
    </row>
    <row r="12" spans="1:9" ht="51.95" customHeight="1">
      <c r="A12" s="17" t="s">
        <v>195</v>
      </c>
      <c r="B12" s="17" t="s">
        <v>89</v>
      </c>
      <c r="C12" s="17" t="s">
        <v>196</v>
      </c>
      <c r="D12" s="15" t="s">
        <v>197</v>
      </c>
      <c r="E12" s="15" t="s">
        <v>198</v>
      </c>
      <c r="F12" s="15" t="s">
        <v>199</v>
      </c>
      <c r="G12" s="15" t="s">
        <v>200</v>
      </c>
      <c r="H12" s="16" t="s">
        <v>173</v>
      </c>
      <c r="I12" s="15" t="s">
        <v>201</v>
      </c>
    </row>
    <row r="13" spans="1:9" ht="51.95" customHeight="1">
      <c r="A13" s="17" t="s">
        <v>202</v>
      </c>
      <c r="B13" s="17" t="s">
        <v>99</v>
      </c>
      <c r="C13" s="17" t="s">
        <v>203</v>
      </c>
      <c r="D13" s="15" t="s">
        <v>204</v>
      </c>
      <c r="E13" s="15" t="s">
        <v>205</v>
      </c>
      <c r="F13" s="15" t="s">
        <v>206</v>
      </c>
      <c r="G13" s="15" t="s">
        <v>207</v>
      </c>
      <c r="H13" s="16" t="s">
        <v>173</v>
      </c>
      <c r="I13" s="15" t="s">
        <v>234</v>
      </c>
    </row>
    <row r="14" spans="1:9" ht="51.95" customHeight="1">
      <c r="A14" s="17" t="s">
        <v>208</v>
      </c>
      <c r="B14" s="17" t="s">
        <v>109</v>
      </c>
      <c r="C14" s="17" t="s">
        <v>209</v>
      </c>
      <c r="D14" s="15" t="s">
        <v>210</v>
      </c>
      <c r="E14" s="15" t="s">
        <v>211</v>
      </c>
      <c r="F14" s="15" t="s">
        <v>212</v>
      </c>
      <c r="G14" s="15" t="s">
        <v>200</v>
      </c>
      <c r="H14" s="16" t="s">
        <v>173</v>
      </c>
      <c r="I14" s="15" t="s">
        <v>213</v>
      </c>
    </row>
    <row r="15" spans="1:9" ht="51.95" customHeight="1">
      <c r="A15" s="17" t="s">
        <v>214</v>
      </c>
      <c r="B15" s="17" t="s">
        <v>119</v>
      </c>
      <c r="C15" s="17" t="s">
        <v>215</v>
      </c>
      <c r="D15" s="15" t="s">
        <v>216</v>
      </c>
      <c r="E15" s="15" t="s">
        <v>217</v>
      </c>
      <c r="F15" s="15" t="s">
        <v>218</v>
      </c>
      <c r="G15" s="15" t="s">
        <v>219</v>
      </c>
      <c r="H15" s="16" t="s">
        <v>173</v>
      </c>
      <c r="I15" s="15" t="s">
        <v>220</v>
      </c>
    </row>
    <row r="16" spans="1:9" ht="51.95" customHeight="1">
      <c r="A16" s="17" t="s">
        <v>221</v>
      </c>
      <c r="B16" s="17" t="s">
        <v>129</v>
      </c>
      <c r="C16" s="17" t="s">
        <v>222</v>
      </c>
      <c r="D16" s="15" t="s">
        <v>223</v>
      </c>
      <c r="E16" s="15" t="s">
        <v>224</v>
      </c>
      <c r="F16" s="15" t="s">
        <v>225</v>
      </c>
      <c r="G16" s="15" t="s">
        <v>226</v>
      </c>
      <c r="H16" s="16" t="s">
        <v>173</v>
      </c>
      <c r="I16" s="15" t="s">
        <v>227</v>
      </c>
    </row>
    <row r="17" spans="1:9" ht="51.95" customHeight="1">
      <c r="A17" s="17" t="s">
        <v>228</v>
      </c>
      <c r="B17" s="17" t="s">
        <v>139</v>
      </c>
      <c r="C17" s="17" t="s">
        <v>229</v>
      </c>
      <c r="D17" s="15" t="s">
        <v>230</v>
      </c>
      <c r="E17" s="15" t="s">
        <v>231</v>
      </c>
      <c r="F17" s="15" t="s">
        <v>232</v>
      </c>
      <c r="G17" s="15" t="s">
        <v>172</v>
      </c>
      <c r="H17" s="16" t="s">
        <v>173</v>
      </c>
      <c r="I17" s="15" t="s">
        <v>201</v>
      </c>
    </row>
  </sheetData>
  <mergeCells count="4">
    <mergeCell ref="A1:I1"/>
    <mergeCell ref="A2:I2"/>
    <mergeCell ref="A4:I4"/>
    <mergeCell ref="A5:I5"/>
  </mergeCells>
  <dataValidations count="1">
    <dataValidation type="list" sqref="H8:H100" xr:uid="{00000000-0002-0000-0300-000000000000}">
      <formula1>"Borrador,Preparado,Pendiente de validacion tecnica"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Criterios</vt:lpstr>
      <vt:lpstr>Matriz Riesgos OWASP</vt:lpstr>
      <vt:lpstr>Resumen</vt:lpstr>
      <vt:lpstr>Verificacion Fase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Eliseo Gomez Flores</dc:creator>
  <cp:lastModifiedBy>Edwin Eliseo Gomez Flores</cp:lastModifiedBy>
  <dcterms:created xsi:type="dcterms:W3CDTF">2026-10-29T14:19:59Z</dcterms:created>
  <dcterms:modified xsi:type="dcterms:W3CDTF">2026-10-29T14:24:44Z</dcterms:modified>
</cp:coreProperties>
</file>